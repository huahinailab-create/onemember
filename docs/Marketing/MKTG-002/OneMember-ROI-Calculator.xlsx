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I Calculator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<sst xmlns="http://schemas.openxmlformats.org/spreadsheetml/2006/main" count="51" uniqueCount="51">
  <si>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oneMember  ROI Calculator</t>
  </si>
  <si>
    <t>Merchant Revenue Impact Estimator  |  MKTG-002  |  2026</t>
  </si>
  <si>
    <t xml:space="preserve">  A  ·  YOUR BUSINESS — Enter your numbers below</t>
  </si>
  <si>
    <t>Weekly customer visits</t>
  </si>
  <si>
    <t>Number of unique customers per week</t>
  </si>
  <si>
    <t>Average spend per visit (฿)</t>
  </si>
  <si>
    <t>Typical receipt value in Thai Baht</t>
  </si>
  <si>
    <t>Current return rate (%)</t>
  </si>
  <si>
    <t>Fraction of customers who return next month</t>
  </si>
  <si>
    <t>With OneMember return rate (%)</t>
  </si>
  <si>
    <t>Target: typically +10–20 percentage points</t>
  </si>
  <si>
    <t>Monthly subscription fee (฿)</t>
  </si>
  <si>
    <t>OneMember flat monthly fee</t>
  </si>
  <si>
    <t xml:space="preserve">  B  ·  CURRENT SITUATION — What your business looks like today</t>
  </si>
  <si>
    <t>Monthly customers (weekly × 4.3)</t>
  </si>
  <si>
    <t>Customers who return (at current rate)</t>
  </si>
  <si>
    <t>Customers who do NOT return (lost monthly)</t>
  </si>
  <si>
    <t>Monthly revenue from returning customers</t>
  </si>
  <si>
    <t>Monthly revenue being lost (lapsed customers)</t>
  </si>
  <si>
    <t xml:space="preserve">  C  ·  WITH ONEMEMBER — Projected impact</t>
  </si>
  <si>
    <t>Customers who return (with OneMember)</t>
  </si>
  <si>
    <t>Additional returning customers per month</t>
  </si>
  <si>
    <t>Additional monthly revenue</t>
  </si>
  <si>
    <t>Monthly subscription cost</t>
  </si>
  <si>
    <t>NET monthly benefit (revenue – subscription)</t>
  </si>
  <si>
    <t xml:space="preserve">  D  ·  SUMMARY</t>
  </si>
  <si>
    <t>Annual net benefit</t>
  </si>
  <si>
    <t>Annual subscription cost</t>
  </si>
  <si>
    <t>Return on Investment (ROI)</t>
  </si>
  <si>
    <t>Payback period (days)</t>
  </si>
  <si>
    <t xml:space="preserve">  E  ·  12-MONTH PROJECTION</t>
  </si>
  <si>
    <t>Month</t>
  </si>
  <si>
    <t>Cumulative Members</t>
  </si>
  <si>
    <t>Additional Revenue</t>
  </si>
  <si>
    <t>Subscription Cost</t>
  </si>
  <si>
    <t>Net Benefit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</si>
  <si>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</si>
  <si>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</si>
  <si>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</si>
  <si>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</si>
  <si>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</si>
  <si>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</si>
  <si>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</si>
  <si>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</si>
  <si>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</si>
  <si>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</si>
  <si>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</si>
  <si>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</si>
  <si>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YEAR 1 TOTAL</t>
  </si>
  <si>
    <t>Disclaimer: Projections are estimates based on industry averages. Actual results will vary. OneMember does not guarantee specific revenue outcomes.</t>
  </si>
  <si>
    <t>OneMember  ·  onemember.app  ·  MKTG-002  ·  Confidential  ·  2026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</si>
</sst>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&quot;฿&quot;#,##0"/>
    <numFmt numFmtId="166" formatCode="0%"/>
    <numFmt numFmtId="167" formatCode="0&quot;×&quot;"/>
    <numFmt numFmtId="168" formatCode="0&quot; days&quot;"/>
  </numFmts>
  <fonts count="16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1A1A2E"/>
      <name val="Arial"/>
      <family val="2"/>
    </font>
    <font>
      <b/>
      <sz val="12"/>
      <color rgb="FFFFFFFF"/>
      <name val="Arial"/>
      <family val="2"/>
    </font>
    <font>
      <b/>
      <sz val="13"/>
      <color rgb="FF1A2E5A"/>
      <name val="Arial"/>
      <family val="2"/>
    </font>
    <font>
      <i/>
      <sz val="9"/>
      <color rgb="FF64748B"/>
      <name val="Arial"/>
      <family val="2"/>
    </font>
    <font>
      <b/>
      <sz val="11"/>
      <color rgb="FF1A1A2E"/>
      <name val="Arial"/>
      <family val="2"/>
    </font>
    <font>
      <b/>
      <sz val="11"/>
      <color rgb="FFEF4444"/>
      <name val="Arial"/>
      <family val="2"/>
    </font>
    <font>
      <b/>
      <sz val="18"/>
      <color rgb="FFFFFFFF"/>
      <name val="Arial"/>
      <family val="2"/>
    </font>
    <font>
      <b/>
      <sz val="11"/>
      <color rgb="FF16A34A"/>
      <name val="Arial"/>
      <family val="2"/>
    </font>
    <font>
      <b/>
      <sz val="14"/>
      <color rgb="FFEF4444"/>
      <name val="Arial"/>
      <family val="2"/>
    </font>
    <font>
      <b/>
      <sz val="2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A1A2E"/>
      <name val="Arial"/>
      <family val="2"/>
    </font>
    <font>
      <b/>
      <sz val="10"/>
      <color rgb="FF16A34A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F1C3A"/>
        <bgColor indexed="64"/>
      </patternFill>
    </fill>
    <fill>
      <patternFill patternType="solid">
        <fgColor rgb="FF1A2E5A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1585"/>
        <bgColor indexed="64"/>
      </patternFill>
    </fill>
    <fill>
      <patternFill patternType="solid">
        <fgColor rgb="FFF0F0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16A34A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164" fontId="5" fillId="7" borderId="1" xfId="0" applyNumberFormat="1" applyFont="1" applyFill="1" applyBorder="1" applyAlignment="1">
      <alignment vertical="center"/>
    </xf>
    <xf numFmtId="0" fontId="6" fillId="6" borderId="0" xfId="0" applyFont="1" applyFill="1" applyAlignment="1">
      <alignment vertical="center"/>
    </xf>
    <xf numFmtId="165" fontId="5" fillId="7" borderId="1" xfId="0" applyNumberFormat="1" applyFont="1" applyFill="1" applyBorder="1" applyAlignment="1">
      <alignment vertical="center"/>
    </xf>
    <xf numFmtId="166" fontId="5" fillId="7" borderId="1" xfId="0" applyNumberFormat="1" applyFont="1" applyFill="1" applyBorder="1" applyAlignment="1">
      <alignment vertical="center"/>
    </xf>
    <xf numFmtId="164" fontId="7" fillId="6" borderId="0" xfId="0" applyNumberFormat="1" applyFont="1" applyFill="1" applyAlignment="1">
      <alignment vertical="center"/>
    </xf>
    <xf numFmtId="164" fontId="8" fillId="8" borderId="0" xfId="0" applyNumberFormat="1" applyFont="1" applyFill="1" applyAlignment="1">
      <alignment vertical="center"/>
    </xf>
    <xf numFmtId="165" fontId="7" fillId="6" borderId="0" xfId="0" applyNumberFormat="1" applyFont="1" applyFill="1" applyAlignment="1">
      <alignment vertical="center"/>
    </xf>
    <xf numFmtId="165" fontId="9" fillId="9" borderId="0" xfId="0" applyNumberFormat="1" applyFont="1" applyFill="1" applyAlignment="1">
      <alignment vertical="center"/>
    </xf>
    <xf numFmtId="164" fontId="10" fillId="10" borderId="0" xfId="0" applyNumberFormat="1" applyFont="1" applyFill="1" applyAlignment="1">
      <alignment vertical="center"/>
    </xf>
    <xf numFmtId="165" fontId="9" fillId="11" borderId="0" xfId="0" applyNumberFormat="1" applyFont="1" applyFill="1" applyAlignment="1">
      <alignment vertical="center"/>
    </xf>
    <xf numFmtId="165" fontId="8" fillId="8" borderId="0" xfId="0" applyNumberFormat="1" applyFont="1" applyFill="1" applyAlignment="1">
      <alignment vertical="center"/>
    </xf>
    <xf numFmtId="165" fontId="11" fillId="8" borderId="0" xfId="0" applyNumberFormat="1" applyFont="1" applyFill="1" applyAlignment="1">
      <alignment vertical="center"/>
    </xf>
    <xf numFmtId="167" fontId="12" fillId="5" borderId="0" xfId="0" applyNumberFormat="1" applyFont="1" applyFill="1" applyAlignment="1">
      <alignment vertical="center"/>
    </xf>
    <xf numFmtId="168" fontId="7" fillId="6" borderId="0" xfId="0" applyNumberFormat="1" applyFont="1" applyFill="1" applyAlignment="1">
      <alignment vertical="center"/>
    </xf>
    <xf numFmtId="0" fontId="13" fillId="3" borderId="0" xfId="0" applyFont="1" applyFill="1" applyAlignment="1">
      <alignment horizontal="center" vertical="center"/>
    </xf>
    <xf numFmtId="164" fontId="14" fillId="7" borderId="0" xfId="0" applyNumberFormat="1" applyFont="1" applyFill="1" applyAlignment="1">
      <alignment horizontal="center" vertical="center"/>
    </xf>
    <xf numFmtId="165" fontId="15" fillId="10" borderId="0" xfId="0" applyNumberFormat="1" applyFont="1" applyFill="1" applyAlignment="1">
      <alignment horizontal="center" vertical="center"/>
    </xf>
    <xf numFmtId="165" fontId="14" fillId="7" borderId="0" xfId="0" applyNumberFormat="1" applyFont="1" applyFill="1" applyAlignment="1">
      <alignment horizontal="center" vertical="center"/>
    </xf>
    <xf numFmtId="165" fontId="2" fillId="11" borderId="0" xfId="0" applyNumberFormat="1" applyFont="1" applyFill="1" applyAlignment="1">
      <alignment vertical="center"/>
    </xf>
    <xf numFmtId="165" fontId="2" fillId="9" borderId="0" xfId="0" applyNumberFormat="1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3" width="22.7109375" customWidth="1"/>
    <col min="4" max="4" width="18.7109375" customWidth="1"/>
  </cols>
  <sheetData>
    <row r="1" spans="1:4" ht="42" customHeight="1">
      <c r="A1" s="1" t="s">
        <v>0</v>
      </c>
      <c r="B1" s="1"/>
      <c r="C1" s="1"/>
      <c r="D1" s="1"/>
    </row>
    <row r="2" spans="1:4" ht="22" customHeight="1">
      <c r="A2" s="2" t="s">
        <v>1</v>
      </c>
      <c r="B2" s="2"/>
      <c r="C2" s="2"/>
      <c r="D2" s="2"/>
    </row>
    <row r="3" spans="1:4" ht="8" customHeight="1">
      <c r="A3" s="3"/>
      <c r="B3" s="3"/>
      <c r="C3" s="3"/>
      <c r="D3" s="3"/>
    </row>
    <row r="4" spans="1:4" ht="28" customHeight="1">
      <c r="A4" s="4" t="s">
        <v>2</v>
      </c>
      <c r="B4" s="4"/>
      <c r="C4" s="4"/>
      <c r="D4" s="4"/>
    </row>
    <row r="5" spans="1:4" ht="28" customHeight="1">
      <c r="A5" s="5" t="s">
        <v>3</v>
      </c>
      <c r="B5" s="6">
        <v>200</v>
      </c>
      <c r="C5" s="7" t="s">
        <v>4</v>
      </c>
    </row>
    <row r="6" spans="1:4" ht="28" customHeight="1">
      <c r="A6" s="5" t="s">
        <v>5</v>
      </c>
      <c r="B6" s="8">
        <v>400</v>
      </c>
      <c r="C6" s="7" t="s">
        <v>6</v>
      </c>
    </row>
    <row r="7" spans="1:4" ht="28" customHeight="1">
      <c r="A7" s="5" t="s">
        <v>7</v>
      </c>
      <c r="B7" s="9">
        <v>0.2</v>
      </c>
      <c r="C7" s="7" t="s">
        <v>8</v>
      </c>
    </row>
    <row r="8" spans="1:4" ht="28" customHeight="1">
      <c r="A8" s="5" t="s">
        <v>9</v>
      </c>
      <c r="B8" s="9">
        <v>0.35</v>
      </c>
      <c r="C8" s="7" t="s">
        <v>10</v>
      </c>
    </row>
    <row r="9" spans="1:4" ht="28" customHeight="1">
      <c r="A9" s="5" t="s">
        <v>11</v>
      </c>
      <c r="B9" s="8">
        <v>1990</v>
      </c>
      <c r="C9" s="7" t="s">
        <v>12</v>
      </c>
    </row>
    <row r="10" spans="1:4" ht="8" customHeight="1">
      <c r="A10" s="3"/>
      <c r="B10" s="3"/>
      <c r="C10" s="3"/>
      <c r="D10" s="3"/>
    </row>
    <row r="11" spans="1:4" ht="28" customHeight="1">
      <c r="A11" s="4" t="s">
        <v>13</v>
      </c>
      <c r="B11" s="4"/>
      <c r="C11" s="4"/>
      <c r="D11" s="4"/>
    </row>
    <row r="12" spans="1:4" ht="26" customHeight="1">
      <c r="A12" s="5" t="s">
        <v>14</v>
      </c>
      <c r="B12" s="10">
        <f>B5*4.3</f>
        <v>0</v>
      </c>
    </row>
    <row r="13" spans="1:4" ht="26" customHeight="1">
      <c r="A13" s="5" t="s">
        <v>15</v>
      </c>
      <c r="B13" s="10">
        <f>B5*4.3*B7</f>
        <v>0</v>
      </c>
    </row>
    <row r="14" spans="1:4" ht="26" customHeight="1">
      <c r="A14" s="5" t="s">
        <v>16</v>
      </c>
      <c r="B14" s="11">
        <f>B5*4.3*(1-B7)</f>
        <v>0</v>
      </c>
    </row>
    <row r="15" spans="1:4" ht="26" customHeight="1">
      <c r="A15" s="5" t="s">
        <v>17</v>
      </c>
      <c r="B15" s="12">
        <f>B5*4.3*B7*B6</f>
        <v>0</v>
      </c>
    </row>
    <row r="16" spans="1:4" ht="30" customHeight="1">
      <c r="A16" s="5" t="s">
        <v>18</v>
      </c>
      <c r="B16" s="13">
        <f>B5*4.3*(1-B7)*B6</f>
        <v>0</v>
      </c>
    </row>
    <row r="17" spans="1:5" ht="8" customHeight="1">
      <c r="A17" s="3"/>
      <c r="B17" s="3"/>
      <c r="C17" s="3"/>
      <c r="D17" s="3"/>
    </row>
    <row r="18" spans="1:5" ht="28" customHeight="1">
      <c r="A18" s="4" t="s">
        <v>19</v>
      </c>
      <c r="B18" s="4"/>
      <c r="C18" s="4"/>
      <c r="D18" s="4"/>
    </row>
    <row r="19" spans="1:5" ht="26" customHeight="1">
      <c r="A19" s="5" t="s">
        <v>20</v>
      </c>
      <c r="B19" s="14">
        <f>B5*4.3*B8</f>
        <v>0</v>
      </c>
    </row>
    <row r="20" spans="1:5" ht="26" customHeight="1">
      <c r="A20" s="5" t="s">
        <v>21</v>
      </c>
      <c r="B20" s="14">
        <f>B5*4.3*(B8-B7)</f>
        <v>0</v>
      </c>
    </row>
    <row r="21" spans="1:5" ht="30" customHeight="1">
      <c r="A21" s="5" t="s">
        <v>22</v>
      </c>
      <c r="B21" s="15">
        <f>B5*4.3*(B8-B7)*B6</f>
        <v>0</v>
      </c>
    </row>
    <row r="22" spans="1:5" ht="26" customHeight="1">
      <c r="A22" s="5" t="s">
        <v>23</v>
      </c>
      <c r="B22" s="16">
        <f>-B9</f>
        <v>0</v>
      </c>
    </row>
    <row r="23" spans="1:5" ht="30" customHeight="1">
      <c r="A23" s="5" t="s">
        <v>24</v>
      </c>
      <c r="B23" s="15">
        <f>B5*4.3*(B8-B7)*B6-B9</f>
        <v>0</v>
      </c>
    </row>
    <row r="24" spans="1:5" ht="8" customHeight="1">
      <c r="A24" s="3"/>
      <c r="B24" s="3"/>
      <c r="C24" s="3"/>
      <c r="D24" s="3"/>
    </row>
    <row r="25" spans="1:5" ht="28" customHeight="1">
      <c r="A25" s="4" t="s">
        <v>25</v>
      </c>
      <c r="B25" s="4"/>
      <c r="C25" s="4"/>
      <c r="D25" s="4"/>
    </row>
    <row r="26" spans="1:5" ht="36" customHeight="1">
      <c r="A26" s="5" t="s">
        <v>26</v>
      </c>
      <c r="B26" s="15">
        <f>B23*12</f>
        <v>0</v>
      </c>
    </row>
    <row r="27" spans="1:5" ht="30" customHeight="1">
      <c r="A27" s="5" t="s">
        <v>27</v>
      </c>
      <c r="B27" s="17">
        <f>B9*12</f>
        <v>0</v>
      </c>
    </row>
    <row r="28" spans="1:5" ht="42" customHeight="1">
      <c r="A28" s="5" t="s">
        <v>28</v>
      </c>
      <c r="B28" s="18">
        <f>B23/B9</f>
        <v>0</v>
      </c>
    </row>
    <row r="29" spans="1:5" ht="26" customHeight="1">
      <c r="A29" s="5" t="s">
        <v>29</v>
      </c>
      <c r="B29" s="19">
        <f>(B9/B5*4.3*(B8-B7)*B6)*30</f>
        <v>0</v>
      </c>
    </row>
    <row r="30" spans="1:5" ht="8" customHeight="1">
      <c r="A30" s="3"/>
      <c r="B30" s="3"/>
      <c r="C30" s="3"/>
      <c r="D30" s="3"/>
    </row>
    <row r="31" spans="1:5" ht="28" customHeight="1">
      <c r="A31" s="4" t="s">
        <v>30</v>
      </c>
      <c r="B31" s="4"/>
      <c r="C31" s="4"/>
      <c r="D31" s="4"/>
    </row>
    <row r="32" spans="1:5" ht="22" customHeight="1">
      <c r="A32" s="20" t="s">
        <v>31</v>
      </c>
      <c r="B32" s="20" t="s">
        <v>32</v>
      </c>
      <c r="C32" s="20" t="s">
        <v>33</v>
      </c>
      <c r="D32" s="20" t="s">
        <v>34</v>
      </c>
      <c r="E32" s="20" t="s">
        <v>35</v>
      </c>
    </row>
    <row r="33" spans="1:5" ht="22" customHeight="1">
      <c r="A33" s="21" t="s">
        <v>36</v>
      </c>
      <c r="B33" s="21">
        <f>B5*4.3*1*0.6</f>
        <v>0</v>
      </c>
      <c r="C33" s="22">
        <f>B5*4.3*(B8-B7)*B6</f>
        <v>0</v>
      </c>
      <c r="D33" s="23">
        <f>B9</f>
        <v>0</v>
      </c>
      <c r="E33" s="22">
        <f>B5*4.3*(B8-B7)*B6-B9</f>
        <v>0</v>
      </c>
    </row>
    <row r="34" spans="1:5" ht="22" customHeight="1">
      <c r="A34" s="21" t="s">
        <v>37</v>
      </c>
      <c r="B34" s="21">
        <f>B5*4.3*2*0.6</f>
        <v>0</v>
      </c>
      <c r="C34" s="22">
        <f>B5*4.3*(B8-B7)*B6</f>
        <v>0</v>
      </c>
      <c r="D34" s="23">
        <f>B9</f>
        <v>0</v>
      </c>
      <c r="E34" s="22">
        <f>B5*4.3*(B8-B7)*B6-B9</f>
        <v>0</v>
      </c>
    </row>
    <row r="35" spans="1:5" ht="22" customHeight="1">
      <c r="A35" s="21" t="s">
        <v>38</v>
      </c>
      <c r="B35" s="21">
        <f>B5*4.3*3*0.6</f>
        <v>0</v>
      </c>
      <c r="C35" s="22">
        <f>B5*4.3*(B8-B7)*B6</f>
        <v>0</v>
      </c>
      <c r="D35" s="23">
        <f>B9</f>
        <v>0</v>
      </c>
      <c r="E35" s="22">
        <f>B5*4.3*(B8-B7)*B6-B9</f>
        <v>0</v>
      </c>
    </row>
    <row r="36" spans="1:5" ht="22" customHeight="1">
      <c r="A36" s="21" t="s">
        <v>39</v>
      </c>
      <c r="B36" s="21">
        <f>B5*4.3*4*0.6</f>
        <v>0</v>
      </c>
      <c r="C36" s="22">
        <f>B5*4.3*(B8-B7)*B6</f>
        <v>0</v>
      </c>
      <c r="D36" s="23">
        <f>B9</f>
        <v>0</v>
      </c>
      <c r="E36" s="22">
        <f>B5*4.3*(B8-B7)*B6-B9</f>
        <v>0</v>
      </c>
    </row>
    <row r="37" spans="1:5" ht="22" customHeight="1">
      <c r="A37" s="21" t="s">
        <v>40</v>
      </c>
      <c r="B37" s="21">
        <f>B5*4.3*5*0.6</f>
        <v>0</v>
      </c>
      <c r="C37" s="22">
        <f>B5*4.3*(B8-B7)*B6</f>
        <v>0</v>
      </c>
      <c r="D37" s="23">
        <f>B9</f>
        <v>0</v>
      </c>
      <c r="E37" s="22">
        <f>B5*4.3*(B8-B7)*B6-B9</f>
        <v>0</v>
      </c>
    </row>
    <row r="38" spans="1:5" ht="22" customHeight="1">
      <c r="A38" s="21" t="s">
        <v>41</v>
      </c>
      <c r="B38" s="21">
        <f>B5*4.3*6*0.6</f>
        <v>0</v>
      </c>
      <c r="C38" s="22">
        <f>B5*4.3*(B8-B7)*B6</f>
        <v>0</v>
      </c>
      <c r="D38" s="23">
        <f>B9</f>
        <v>0</v>
      </c>
      <c r="E38" s="22">
        <f>B5*4.3*(B8-B7)*B6-B9</f>
        <v>0</v>
      </c>
    </row>
    <row r="39" spans="1:5" ht="22" customHeight="1">
      <c r="A39" s="21" t="s">
        <v>42</v>
      </c>
      <c r="B39" s="21">
        <f>B5*4.3*7*0.6</f>
        <v>0</v>
      </c>
      <c r="C39" s="22">
        <f>B5*4.3*(B8-B7)*B6</f>
        <v>0</v>
      </c>
      <c r="D39" s="23">
        <f>B9</f>
        <v>0</v>
      </c>
      <c r="E39" s="22">
        <f>B5*4.3*(B8-B7)*B6-B9</f>
        <v>0</v>
      </c>
    </row>
    <row r="40" spans="1:5" ht="22" customHeight="1">
      <c r="A40" s="21" t="s">
        <v>43</v>
      </c>
      <c r="B40" s="21">
        <f>B5*4.3*8*0.6</f>
        <v>0</v>
      </c>
      <c r="C40" s="22">
        <f>B5*4.3*(B8-B7)*B6</f>
        <v>0</v>
      </c>
      <c r="D40" s="23">
        <f>B9</f>
        <v>0</v>
      </c>
      <c r="E40" s="22">
        <f>B5*4.3*(B8-B7)*B6-B9</f>
        <v>0</v>
      </c>
    </row>
    <row r="41" spans="1:5" ht="22" customHeight="1">
      <c r="A41" s="21" t="s">
        <v>44</v>
      </c>
      <c r="B41" s="21">
        <f>B5*4.3*9*0.6</f>
        <v>0</v>
      </c>
      <c r="C41" s="22">
        <f>B5*4.3*(B8-B7)*B6</f>
        <v>0</v>
      </c>
      <c r="D41" s="23">
        <f>B9</f>
        <v>0</v>
      </c>
      <c r="E41" s="22">
        <f>B5*4.3*(B8-B7)*B6-B9</f>
        <v>0</v>
      </c>
    </row>
    <row r="42" spans="1:5" ht="22" customHeight="1">
      <c r="A42" s="21" t="s">
        <v>45</v>
      </c>
      <c r="B42" s="21">
        <f>B5*4.3*10*0.6</f>
        <v>0</v>
      </c>
      <c r="C42" s="22">
        <f>B5*4.3*(B8-B7)*B6</f>
        <v>0</v>
      </c>
      <c r="D42" s="23">
        <f>B9</f>
        <v>0</v>
      </c>
      <c r="E42" s="22">
        <f>B5*4.3*(B8-B7)*B6-B9</f>
        <v>0</v>
      </c>
    </row>
    <row r="43" spans="1:5" ht="22" customHeight="1">
      <c r="A43" s="21" t="s">
        <v>46</v>
      </c>
      <c r="B43" s="21">
        <f>B5*4.3*11*0.6</f>
        <v>0</v>
      </c>
      <c r="C43" s="22">
        <f>B5*4.3*(B8-B7)*B6</f>
        <v>0</v>
      </c>
      <c r="D43" s="23">
        <f>B9</f>
        <v>0</v>
      </c>
      <c r="E43" s="22">
        <f>B5*4.3*(B8-B7)*B6-B9</f>
        <v>0</v>
      </c>
    </row>
    <row r="44" spans="1:5" ht="22" customHeight="1">
      <c r="A44" s="21" t="s">
        <v>47</v>
      </c>
      <c r="B44" s="21">
        <f>B5*4.3*12*0.6</f>
        <v>0</v>
      </c>
      <c r="C44" s="22">
        <f>B5*4.3*(B8-B7)*B6</f>
        <v>0</v>
      </c>
      <c r="D44" s="23">
        <f>B9</f>
        <v>0</v>
      </c>
      <c r="E44" s="22">
        <f>B5*4.3*(B8-B7)*B6-B9</f>
        <v>0</v>
      </c>
    </row>
    <row r="45" spans="1:5" ht="30" customHeight="1">
      <c r="A45" s="2" t="s">
        <v>48</v>
      </c>
      <c r="B45" s="2"/>
      <c r="C45" s="24">
        <f>B5*4.3*(B8-B7)*B6*12</f>
        <v>0</v>
      </c>
      <c r="D45" s="25">
        <f>B9*12</f>
        <v>0</v>
      </c>
      <c r="E45" s="24">
        <f>B23*12</f>
        <v>0</v>
      </c>
    </row>
    <row r="46" spans="1:5" ht="8" customHeight="1">
      <c r="A46" s="3"/>
      <c r="B46" s="3"/>
      <c r="C46" s="3"/>
      <c r="D46" s="3"/>
      <c r="E46" s="3"/>
    </row>
    <row r="47" spans="1:5" ht="20" customHeight="1">
      <c r="A47" s="7" t="s">
        <v>49</v>
      </c>
      <c r="B47" s="7"/>
      <c r="C47" s="7"/>
      <c r="D47" s="7"/>
      <c r="E47" s="7"/>
    </row>
    <row r="48" spans="1:5" ht="22" customHeight="1">
      <c r="A48" s="26" t="s">
        <v>50</v>
      </c>
      <c r="B48" s="26"/>
      <c r="C48" s="26"/>
      <c r="D48" s="26"/>
      <c r="E48" s="26"/>
    </row>
  </sheetData>
  <mergeCells count="15">
    <mergeCell ref="A1:D1"/>
    <mergeCell ref="A2:D2"/>
    <mergeCell ref="A3:D3"/>
    <mergeCell ref="A4:D4"/>
    <mergeCell ref="A10:D10"/>
    <mergeCell ref="A11:D11"/>
    <mergeCell ref="A17:D17"/>
    <mergeCell ref="A18:D18"/>
    <mergeCell ref="A24:D24"/>
    <mergeCell ref="A25:D25"/>
    <mergeCell ref="A30:D30"/>
    <mergeCell ref="A31:D31"/>
    <mergeCell ref="A46:E46"/>
    <mergeCell ref="A47:E47"/>
    <mergeCell ref="A48:E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 Calculator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2026-07-03T00:42:31Z</dcterms:created>
  <dcterms:modified xsi:type="dcterms:W3CDTF">2026-07-03T00:42:31Z</dcterms:modified>
</cp:coreProperties>
</file>